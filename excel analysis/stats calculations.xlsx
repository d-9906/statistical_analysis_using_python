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80ae42ce169152/Desktop/STATS/"/>
    </mc:Choice>
  </mc:AlternateContent>
  <xr:revisionPtr revIDLastSave="122" documentId="8_{5B7B45F9-D629-4B99-BF0E-51DDF58BCFE8}" xr6:coauthVersionLast="47" xr6:coauthVersionMax="47" xr10:uidLastSave="{383A711E-F5D6-406E-B364-0A1784F6D03B}"/>
  <bookViews>
    <workbookView xWindow="-96" yWindow="0" windowWidth="11712" windowHeight="12336" activeTab="3" xr2:uid="{61726249-E29C-4A60-A5D9-796FEEA3D19A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4" l="1"/>
  <c r="F7" i="4"/>
  <c r="F17" i="4"/>
  <c r="E5" i="4"/>
  <c r="G5" i="4" s="1"/>
  <c r="E6" i="4"/>
  <c r="G6" i="4" s="1"/>
  <c r="E7" i="4"/>
  <c r="G7" i="4" s="1"/>
  <c r="E8" i="4"/>
  <c r="G8" i="4" s="1"/>
  <c r="E9" i="4"/>
  <c r="G9" i="4" s="1"/>
  <c r="E10" i="4"/>
  <c r="G10" i="4" s="1"/>
  <c r="E11" i="4"/>
  <c r="G11" i="4" s="1"/>
  <c r="E12" i="4"/>
  <c r="G12" i="4" s="1"/>
  <c r="E13" i="4"/>
  <c r="G13" i="4" s="1"/>
  <c r="E14" i="4"/>
  <c r="G14" i="4" s="1"/>
  <c r="E15" i="4"/>
  <c r="G15" i="4" s="1"/>
  <c r="E16" i="4"/>
  <c r="G16" i="4" s="1"/>
  <c r="E17" i="4"/>
  <c r="G17" i="4" s="1"/>
  <c r="E18" i="4"/>
  <c r="G18" i="4" s="1"/>
  <c r="E19" i="4"/>
  <c r="G19" i="4" s="1"/>
  <c r="E20" i="4"/>
  <c r="G20" i="4" s="1"/>
  <c r="E21" i="4"/>
  <c r="G21" i="4" s="1"/>
  <c r="E22" i="4"/>
  <c r="G22" i="4" s="1"/>
  <c r="E4" i="4"/>
  <c r="E23" i="4" s="1"/>
  <c r="D5" i="4"/>
  <c r="F5" i="4" s="1"/>
  <c r="D6" i="4"/>
  <c r="F6" i="4" s="1"/>
  <c r="D7" i="4"/>
  <c r="D8" i="4"/>
  <c r="D23" i="4" s="1"/>
  <c r="D9" i="4"/>
  <c r="F9" i="4" s="1"/>
  <c r="D10" i="4"/>
  <c r="F10" i="4" s="1"/>
  <c r="D11" i="4"/>
  <c r="F11" i="4" s="1"/>
  <c r="D12" i="4"/>
  <c r="F12" i="4" s="1"/>
  <c r="D13" i="4"/>
  <c r="F13" i="4" s="1"/>
  <c r="D14" i="4"/>
  <c r="F14" i="4" s="1"/>
  <c r="D15" i="4"/>
  <c r="F15" i="4" s="1"/>
  <c r="D16" i="4"/>
  <c r="F16" i="4" s="1"/>
  <c r="D17" i="4"/>
  <c r="D18" i="4"/>
  <c r="F18" i="4" s="1"/>
  <c r="D19" i="4"/>
  <c r="F19" i="4" s="1"/>
  <c r="D20" i="4"/>
  <c r="F20" i="4" s="1"/>
  <c r="D21" i="4"/>
  <c r="F21" i="4" s="1"/>
  <c r="D22" i="4"/>
  <c r="F22" i="4" s="1"/>
  <c r="D4" i="4"/>
  <c r="F4" i="4" s="1"/>
  <c r="C23" i="4"/>
  <c r="C25" i="4" s="1"/>
  <c r="B23" i="4"/>
  <c r="B25" i="4" s="1"/>
  <c r="D27" i="4" s="1"/>
  <c r="E27" i="3"/>
  <c r="E25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F4" i="3"/>
  <c r="E4" i="3"/>
  <c r="D16" i="3"/>
  <c r="D17" i="3"/>
  <c r="D18" i="3"/>
  <c r="D19" i="3"/>
  <c r="D20" i="3"/>
  <c r="D21" i="3"/>
  <c r="D22" i="3"/>
  <c r="D5" i="3"/>
  <c r="D6" i="3"/>
  <c r="D7" i="3"/>
  <c r="D8" i="3"/>
  <c r="D9" i="3"/>
  <c r="D10" i="3"/>
  <c r="D11" i="3"/>
  <c r="D12" i="3"/>
  <c r="D13" i="3"/>
  <c r="D14" i="3"/>
  <c r="D15" i="3"/>
  <c r="D4" i="3"/>
  <c r="E4" i="2"/>
  <c r="G5" i="2"/>
  <c r="G6" i="2"/>
  <c r="G7" i="2"/>
  <c r="G8" i="2"/>
  <c r="G10" i="2"/>
  <c r="G11" i="2"/>
  <c r="G12" i="2"/>
  <c r="G20" i="2"/>
  <c r="G21" i="2"/>
  <c r="G4" i="2"/>
  <c r="F22" i="2"/>
  <c r="F21" i="2"/>
  <c r="D22" i="2"/>
  <c r="E22" i="2" s="1"/>
  <c r="F5" i="2"/>
  <c r="F18" i="2"/>
  <c r="F19" i="2"/>
  <c r="F20" i="2"/>
  <c r="F4" i="2"/>
  <c r="E20" i="2"/>
  <c r="D5" i="2"/>
  <c r="D6" i="2"/>
  <c r="D7" i="2"/>
  <c r="D8" i="2"/>
  <c r="D9" i="2"/>
  <c r="G9" i="2" s="1"/>
  <c r="D10" i="2"/>
  <c r="D11" i="2"/>
  <c r="D12" i="2"/>
  <c r="D13" i="2"/>
  <c r="G13" i="2" s="1"/>
  <c r="D14" i="2"/>
  <c r="G14" i="2" s="1"/>
  <c r="D15" i="2"/>
  <c r="G15" i="2" s="1"/>
  <c r="D16" i="2"/>
  <c r="G16" i="2" s="1"/>
  <c r="D17" i="2"/>
  <c r="G17" i="2" s="1"/>
  <c r="D18" i="2"/>
  <c r="G18" i="2" s="1"/>
  <c r="D19" i="2"/>
  <c r="E19" i="2" s="1"/>
  <c r="D20" i="2"/>
  <c r="D21" i="2"/>
  <c r="D4" i="2"/>
  <c r="C5" i="2"/>
  <c r="E5" i="2" s="1"/>
  <c r="C6" i="2"/>
  <c r="F6" i="2" s="1"/>
  <c r="C7" i="2"/>
  <c r="F7" i="2" s="1"/>
  <c r="C8" i="2"/>
  <c r="F8" i="2" s="1"/>
  <c r="C9" i="2"/>
  <c r="F9" i="2" s="1"/>
  <c r="C10" i="2"/>
  <c r="F10" i="2" s="1"/>
  <c r="C11" i="2"/>
  <c r="F11" i="2" s="1"/>
  <c r="C12" i="2"/>
  <c r="F12" i="2" s="1"/>
  <c r="C13" i="2"/>
  <c r="F13" i="2" s="1"/>
  <c r="C14" i="2"/>
  <c r="F14" i="2" s="1"/>
  <c r="C15" i="2"/>
  <c r="F15" i="2" s="1"/>
  <c r="C16" i="2"/>
  <c r="F16" i="2" s="1"/>
  <c r="C17" i="2"/>
  <c r="E17" i="2" s="1"/>
  <c r="C18" i="2"/>
  <c r="C19" i="2"/>
  <c r="C20" i="2"/>
  <c r="C21" i="2"/>
  <c r="E21" i="2" s="1"/>
  <c r="C22" i="2"/>
  <c r="C4" i="2"/>
  <c r="B26" i="2"/>
  <c r="A26" i="2"/>
  <c r="B26" i="1"/>
  <c r="C22" i="1"/>
  <c r="D22" i="1" s="1"/>
  <c r="C21" i="1"/>
  <c r="D21" i="1" s="1"/>
  <c r="C20" i="1"/>
  <c r="D20" i="1" s="1"/>
  <c r="C19" i="1"/>
  <c r="D19" i="1" s="1"/>
  <c r="C18" i="1"/>
  <c r="D18" i="1" s="1"/>
  <c r="C17" i="1"/>
  <c r="D17" i="1" s="1"/>
  <c r="C16" i="1"/>
  <c r="D16" i="1" s="1"/>
  <c r="C15" i="1"/>
  <c r="D15" i="1" s="1"/>
  <c r="C14" i="1"/>
  <c r="D14" i="1" s="1"/>
  <c r="C13" i="1"/>
  <c r="D13" i="1" s="1"/>
  <c r="C12" i="1"/>
  <c r="D12" i="1" s="1"/>
  <c r="C11" i="1"/>
  <c r="D11" i="1" s="1"/>
  <c r="C10" i="1"/>
  <c r="D10" i="1" s="1"/>
  <c r="C9" i="1"/>
  <c r="D9" i="1" s="1"/>
  <c r="C8" i="1"/>
  <c r="D8" i="1" s="1"/>
  <c r="C7" i="1"/>
  <c r="D7" i="1" s="1"/>
  <c r="C6" i="1"/>
  <c r="D6" i="1" s="1"/>
  <c r="C5" i="1"/>
  <c r="D5" i="1" s="1"/>
  <c r="C4" i="1"/>
  <c r="D4" i="1" s="1"/>
  <c r="G4" i="4" l="1"/>
  <c r="F8" i="4"/>
  <c r="F23" i="4"/>
  <c r="F25" i="4" s="1"/>
  <c r="F26" i="4" s="1"/>
  <c r="G23" i="4"/>
  <c r="G25" i="4" s="1"/>
  <c r="G26" i="4" s="1"/>
  <c r="D23" i="3"/>
  <c r="E24" i="3" s="1"/>
  <c r="G25" i="3" s="1"/>
  <c r="G27" i="3" s="1"/>
  <c r="E23" i="3"/>
  <c r="E26" i="3" s="1"/>
  <c r="F23" i="3"/>
  <c r="E18" i="2"/>
  <c r="E16" i="2"/>
  <c r="F17" i="2"/>
  <c r="F23" i="2" s="1"/>
  <c r="E15" i="2"/>
  <c r="E14" i="2"/>
  <c r="G22" i="2"/>
  <c r="E13" i="2"/>
  <c r="E12" i="2"/>
  <c r="E11" i="2"/>
  <c r="G19" i="2"/>
  <c r="G23" i="2" s="1"/>
  <c r="E10" i="2"/>
  <c r="E9" i="2"/>
  <c r="E8" i="2"/>
  <c r="E23" i="2" s="1"/>
  <c r="E7" i="2"/>
  <c r="E6" i="2"/>
  <c r="D24" i="1"/>
  <c r="D26" i="1" s="1"/>
  <c r="E26" i="1" s="1"/>
  <c r="H26" i="4" l="1"/>
  <c r="F27" i="4" s="1"/>
  <c r="H25" i="2"/>
  <c r="H27" i="2" s="1"/>
  <c r="E26" i="2" s="1"/>
</calcChain>
</file>

<file path=xl/sharedStrings.xml><?xml version="1.0" encoding="utf-8"?>
<sst xmlns="http://schemas.openxmlformats.org/spreadsheetml/2006/main" count="48" uniqueCount="42">
  <si>
    <t>standard deviation and variance</t>
  </si>
  <si>
    <t>Total  - Arrested(x)</t>
  </si>
  <si>
    <t>x- xbar</t>
  </si>
  <si>
    <t>sum=</t>
  </si>
  <si>
    <t>var(sum/18)=</t>
  </si>
  <si>
    <t>std dev(root of var)=</t>
  </si>
  <si>
    <t>sum/19=</t>
  </si>
  <si>
    <t>(x-xbar)^2</t>
  </si>
  <si>
    <t>correlation</t>
  </si>
  <si>
    <t>Total   - Male(X)</t>
  </si>
  <si>
    <t>Total   - Female(Y)</t>
  </si>
  <si>
    <t xml:space="preserve">xbar=  </t>
  </si>
  <si>
    <t>ybar=</t>
  </si>
  <si>
    <t>x-xbar</t>
  </si>
  <si>
    <t>y-ybar</t>
  </si>
  <si>
    <t>(x-xbar)(y-ybar)</t>
  </si>
  <si>
    <t>(y-ybar)^2</t>
  </si>
  <si>
    <t>r=</t>
  </si>
  <si>
    <t>[(x-xbar)^2]*[(y-ybar)^2]</t>
  </si>
  <si>
    <t>root</t>
  </si>
  <si>
    <t>regression</t>
  </si>
  <si>
    <t>x.y</t>
  </si>
  <si>
    <t>x^2</t>
  </si>
  <si>
    <t>y^2</t>
  </si>
  <si>
    <t>n=19</t>
  </si>
  <si>
    <t>n*summation of xy</t>
  </si>
  <si>
    <t>summation of x *summation of y</t>
  </si>
  <si>
    <t>n*summation of xsqaure</t>
  </si>
  <si>
    <t>summation of x whole square</t>
  </si>
  <si>
    <t>slope=b=</t>
  </si>
  <si>
    <t>intercept=a=</t>
  </si>
  <si>
    <t>Total   - Male(X1)</t>
  </si>
  <si>
    <t>Total   - Female(x2)</t>
  </si>
  <si>
    <t>sum</t>
  </si>
  <si>
    <t>mean</t>
  </si>
  <si>
    <t>t-test</t>
  </si>
  <si>
    <t>var=</t>
  </si>
  <si>
    <t>x1-x2=</t>
  </si>
  <si>
    <t>x/n=</t>
  </si>
  <si>
    <t>root of x/n=</t>
  </si>
  <si>
    <t>t=</t>
  </si>
  <si>
    <t>df= nof x1 + n ofx2-2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</si>
</sst>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EC2F7-6611-472A-A636-E52396228EC5}">
  <dimension ref="A1:F26"/>
  <sheetViews>
    <sheetView workbookViewId="0">
      <selection activeCell="H18" sqref="H18"/>
    </sheetView>
  </sheetViews>
  <sheetFormatPr defaultRowHeight="14.4" x14ac:dyDescent="0.3"/>
  <cols>
    <col min="2" max="2" width="23.21875" customWidth="1"/>
    <col min="3" max="3" width="14.88671875" customWidth="1"/>
    <col min="4" max="4" width="17.33203125" customWidth="1"/>
    <col min="6" max="6" width="17.77734375" customWidth="1"/>
  </cols>
  <sheetData>
    <row r="1" spans="1:6" x14ac:dyDescent="0.3">
      <c r="A1" s="2" t="s">
        <v>0</v>
      </c>
      <c r="B1" s="2"/>
      <c r="C1" s="2"/>
      <c r="D1" s="2"/>
      <c r="E1" s="2"/>
      <c r="F1" s="2"/>
    </row>
    <row r="3" spans="1:6" x14ac:dyDescent="0.3">
      <c r="B3" t="s">
        <v>1</v>
      </c>
      <c r="C3" t="s">
        <v>2</v>
      </c>
      <c r="D3" t="s">
        <v>7</v>
      </c>
    </row>
    <row r="4" spans="1:6" x14ac:dyDescent="0.3">
      <c r="B4">
        <v>34952</v>
      </c>
      <c r="C4">
        <f t="shared" ref="C4:C22" si="0">B4-22882.5789</f>
        <v>12069.4211</v>
      </c>
      <c r="D4">
        <f>C4*C4</f>
        <v>145670925.68912521</v>
      </c>
    </row>
    <row r="5" spans="1:6" x14ac:dyDescent="0.3">
      <c r="B5">
        <v>28358</v>
      </c>
      <c r="C5">
        <f t="shared" si="0"/>
        <v>5475.4210999999996</v>
      </c>
      <c r="D5">
        <f t="shared" ref="D5:D21" si="1">C5*C5</f>
        <v>29980236.222325206</v>
      </c>
    </row>
    <row r="6" spans="1:6" x14ac:dyDescent="0.3">
      <c r="B6">
        <v>58508</v>
      </c>
      <c r="C6">
        <f t="shared" si="0"/>
        <v>35625.4211</v>
      </c>
      <c r="D6">
        <f t="shared" si="1"/>
        <v>1269170628.5523252</v>
      </c>
    </row>
    <row r="7" spans="1:6" x14ac:dyDescent="0.3">
      <c r="B7">
        <v>7972</v>
      </c>
      <c r="C7">
        <f t="shared" si="0"/>
        <v>-14910.5789</v>
      </c>
      <c r="D7">
        <f t="shared" si="1"/>
        <v>222325363.13312522</v>
      </c>
    </row>
    <row r="8" spans="1:6" x14ac:dyDescent="0.3">
      <c r="B8">
        <v>99086</v>
      </c>
      <c r="C8">
        <f t="shared" si="0"/>
        <v>76203.421100000007</v>
      </c>
      <c r="D8">
        <f t="shared" si="1"/>
        <v>5806961387.3439264</v>
      </c>
    </row>
    <row r="9" spans="1:6" x14ac:dyDescent="0.3">
      <c r="B9">
        <v>4277</v>
      </c>
      <c r="C9">
        <f t="shared" si="0"/>
        <v>-18605.5789</v>
      </c>
      <c r="D9">
        <f t="shared" si="1"/>
        <v>346167566.20412523</v>
      </c>
    </row>
    <row r="10" spans="1:6" x14ac:dyDescent="0.3">
      <c r="B10">
        <v>8200</v>
      </c>
      <c r="C10">
        <f t="shared" si="0"/>
        <v>-14682.5789</v>
      </c>
      <c r="D10">
        <f t="shared" si="1"/>
        <v>215578123.15472522</v>
      </c>
    </row>
    <row r="11" spans="1:6" x14ac:dyDescent="0.3">
      <c r="B11">
        <v>9768</v>
      </c>
      <c r="C11">
        <f t="shared" si="0"/>
        <v>-13114.5789</v>
      </c>
      <c r="D11">
        <f t="shared" si="1"/>
        <v>171992179.72432521</v>
      </c>
    </row>
    <row r="12" spans="1:6" x14ac:dyDescent="0.3">
      <c r="B12">
        <v>16344</v>
      </c>
      <c r="C12">
        <f t="shared" si="0"/>
        <v>-6538.5789000000004</v>
      </c>
      <c r="D12">
        <f t="shared" si="1"/>
        <v>42753014.031525217</v>
      </c>
    </row>
    <row r="13" spans="1:6" x14ac:dyDescent="0.3">
      <c r="B13">
        <v>8425</v>
      </c>
      <c r="C13">
        <f t="shared" si="0"/>
        <v>-14457.5789</v>
      </c>
      <c r="D13">
        <f t="shared" si="1"/>
        <v>209021587.64972523</v>
      </c>
    </row>
    <row r="14" spans="1:6" x14ac:dyDescent="0.3">
      <c r="B14">
        <v>15209</v>
      </c>
      <c r="C14">
        <f t="shared" si="0"/>
        <v>-7673.5789000000004</v>
      </c>
      <c r="D14">
        <f t="shared" si="1"/>
        <v>58883813.134525217</v>
      </c>
    </row>
    <row r="15" spans="1:6" x14ac:dyDescent="0.3">
      <c r="B15">
        <v>14492</v>
      </c>
      <c r="C15">
        <f t="shared" si="0"/>
        <v>-8390.5789000000004</v>
      </c>
      <c r="D15">
        <f t="shared" si="1"/>
        <v>70401814.277125224</v>
      </c>
    </row>
    <row r="16" spans="1:6" x14ac:dyDescent="0.3">
      <c r="B16">
        <v>4258</v>
      </c>
      <c r="C16">
        <f t="shared" si="0"/>
        <v>-18624.5789</v>
      </c>
      <c r="D16">
        <f t="shared" si="1"/>
        <v>346874939.20232522</v>
      </c>
    </row>
    <row r="17" spans="2:6" x14ac:dyDescent="0.3">
      <c r="B17">
        <v>8272</v>
      </c>
      <c r="C17">
        <f t="shared" si="0"/>
        <v>-14610.5789</v>
      </c>
      <c r="D17">
        <f t="shared" si="1"/>
        <v>213469015.79312521</v>
      </c>
    </row>
    <row r="18" spans="2:6" x14ac:dyDescent="0.3">
      <c r="B18">
        <v>54543</v>
      </c>
      <c r="C18">
        <f t="shared" si="0"/>
        <v>31660.4211</v>
      </c>
      <c r="D18">
        <f t="shared" si="1"/>
        <v>1002382264.2293252</v>
      </c>
    </row>
    <row r="19" spans="2:6" x14ac:dyDescent="0.3">
      <c r="B19">
        <v>11078</v>
      </c>
      <c r="C19">
        <f t="shared" si="0"/>
        <v>-11804.5789</v>
      </c>
      <c r="D19">
        <f t="shared" si="1"/>
        <v>139348083.00632522</v>
      </c>
    </row>
    <row r="20" spans="2:6" x14ac:dyDescent="0.3">
      <c r="B20">
        <v>8284</v>
      </c>
      <c r="C20">
        <f t="shared" si="0"/>
        <v>-14598.5789</v>
      </c>
      <c r="D20">
        <f t="shared" si="1"/>
        <v>213118505.89952523</v>
      </c>
    </row>
    <row r="21" spans="2:6" x14ac:dyDescent="0.3">
      <c r="B21">
        <v>17123</v>
      </c>
      <c r="C21">
        <f t="shared" si="0"/>
        <v>-5759.5789000000004</v>
      </c>
      <c r="D21">
        <f t="shared" si="1"/>
        <v>33172749.105325215</v>
      </c>
    </row>
    <row r="22" spans="2:6" x14ac:dyDescent="0.3">
      <c r="B22">
        <v>25620</v>
      </c>
      <c r="C22">
        <f t="shared" si="0"/>
        <v>2737.4210999999996</v>
      </c>
      <c r="D22">
        <f>C22*C22</f>
        <v>7493474.2787252078</v>
      </c>
    </row>
    <row r="23" spans="2:6" x14ac:dyDescent="0.3">
      <c r="B23" t="s">
        <v>3</v>
      </c>
      <c r="D23" t="s">
        <v>3</v>
      </c>
    </row>
    <row r="24" spans="2:6" x14ac:dyDescent="0.3">
      <c r="B24">
        <v>434769</v>
      </c>
      <c r="D24">
        <f>SUM(D4:D22)</f>
        <v>10544765670.631578</v>
      </c>
    </row>
    <row r="25" spans="2:6" ht="18" x14ac:dyDescent="0.35">
      <c r="B25" t="s">
        <v>6</v>
      </c>
      <c r="D25" s="1" t="s">
        <v>4</v>
      </c>
      <c r="E25" s="1" t="s">
        <v>5</v>
      </c>
      <c r="F25" s="1"/>
    </row>
    <row r="26" spans="2:6" ht="18" x14ac:dyDescent="0.35">
      <c r="B26">
        <f>B24/19</f>
        <v>22882.57894736842</v>
      </c>
      <c r="D26" s="1">
        <f>D24/18</f>
        <v>585820315.0350877</v>
      </c>
      <c r="E26" s="1">
        <f>SQRT(D26)</f>
        <v>24203.725230531927</v>
      </c>
      <c r="F26" s="1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913C3-92BA-4776-A1B9-87F72B194FA3}">
  <dimension ref="A1:I27"/>
  <sheetViews>
    <sheetView topLeftCell="A15" workbookViewId="0">
      <selection activeCell="A3" sqref="A3:B23"/>
    </sheetView>
  </sheetViews>
  <sheetFormatPr defaultRowHeight="14.4" x14ac:dyDescent="0.3"/>
  <cols>
    <col min="1" max="1" width="16.6640625" customWidth="1"/>
    <col min="2" max="2" width="19.109375" customWidth="1"/>
    <col min="3" max="4" width="16.6640625" customWidth="1"/>
    <col min="5" max="5" width="19.5546875" customWidth="1"/>
    <col min="6" max="6" width="18.5546875" customWidth="1"/>
    <col min="7" max="7" width="16.109375" customWidth="1"/>
    <col min="8" max="8" width="25.88671875" customWidth="1"/>
  </cols>
  <sheetData>
    <row r="1" spans="1:9" x14ac:dyDescent="0.3">
      <c r="A1" s="2" t="s">
        <v>8</v>
      </c>
      <c r="B1" s="2"/>
      <c r="C1" s="2"/>
      <c r="D1" s="2"/>
      <c r="E1" s="2"/>
      <c r="F1" s="2"/>
      <c r="G1" s="2"/>
      <c r="H1" s="2"/>
      <c r="I1" s="2"/>
    </row>
    <row r="3" spans="1:9" x14ac:dyDescent="0.3">
      <c r="A3" t="s">
        <v>9</v>
      </c>
      <c r="B3" t="s">
        <v>10</v>
      </c>
      <c r="C3" t="s">
        <v>13</v>
      </c>
      <c r="D3" t="s">
        <v>14</v>
      </c>
      <c r="E3" t="s">
        <v>15</v>
      </c>
      <c r="F3" t="s">
        <v>7</v>
      </c>
      <c r="G3" t="s">
        <v>16</v>
      </c>
    </row>
    <row r="4" spans="1:9" x14ac:dyDescent="0.3">
      <c r="A4">
        <v>31898</v>
      </c>
      <c r="B4">
        <v>3054</v>
      </c>
      <c r="C4">
        <f>A4-21623.68421</f>
        <v>10274.315790000001</v>
      </c>
      <c r="D4">
        <f>B4-1258.894737</f>
        <v>1795.1052629999999</v>
      </c>
      <c r="E4">
        <f>C4*D4</f>
        <v>18443478.348353002</v>
      </c>
      <c r="F4">
        <f>C4*C4</f>
        <v>105561564.95264333</v>
      </c>
      <c r="G4">
        <f>D4*D4</f>
        <v>3222402.9052502988</v>
      </c>
    </row>
    <row r="5" spans="1:9" x14ac:dyDescent="0.3">
      <c r="A5">
        <v>26337</v>
      </c>
      <c r="B5">
        <v>2021</v>
      </c>
      <c r="C5">
        <f t="shared" ref="C5:C22" si="0">A5-21623.68421</f>
        <v>4713.3157900000006</v>
      </c>
      <c r="D5">
        <f t="shared" ref="D5:D21" si="1">B5-1258.894737</f>
        <v>762.10526299999992</v>
      </c>
      <c r="E5">
        <f t="shared" ref="E5:E21" si="2">C5*D5</f>
        <v>3592042.7697400027</v>
      </c>
      <c r="F5">
        <f t="shared" ref="F5:F20" si="3">C5*C5</f>
        <v>22215345.736263331</v>
      </c>
      <c r="G5">
        <f t="shared" ref="G5:G22" si="4">D5*D5</f>
        <v>580804.43189229909</v>
      </c>
    </row>
    <row r="6" spans="1:9" x14ac:dyDescent="0.3">
      <c r="A6">
        <v>53804</v>
      </c>
      <c r="B6">
        <v>4704</v>
      </c>
      <c r="C6">
        <f t="shared" si="0"/>
        <v>32180.315790000001</v>
      </c>
      <c r="D6">
        <f t="shared" si="1"/>
        <v>3445.1052629999999</v>
      </c>
      <c r="E6">
        <f t="shared" si="2"/>
        <v>110864575.29313101</v>
      </c>
      <c r="F6">
        <f t="shared" si="3"/>
        <v>1035572724.3441234</v>
      </c>
      <c r="G6">
        <f t="shared" si="4"/>
        <v>11868750.273150299</v>
      </c>
    </row>
    <row r="7" spans="1:9" x14ac:dyDescent="0.3">
      <c r="A7">
        <v>6940</v>
      </c>
      <c r="B7">
        <v>1032</v>
      </c>
      <c r="C7">
        <f t="shared" si="0"/>
        <v>-14683.684209999999</v>
      </c>
      <c r="D7">
        <f t="shared" si="1"/>
        <v>-226.89473700000008</v>
      </c>
      <c r="E7">
        <f t="shared" si="2"/>
        <v>3331650.667019004</v>
      </c>
      <c r="F7">
        <f t="shared" si="3"/>
        <v>215610581.97900331</v>
      </c>
      <c r="G7">
        <f t="shared" si="4"/>
        <v>51481.221678299204</v>
      </c>
    </row>
    <row r="8" spans="1:9" x14ac:dyDescent="0.3">
      <c r="A8">
        <v>96959</v>
      </c>
      <c r="B8">
        <v>2127</v>
      </c>
      <c r="C8">
        <f t="shared" si="0"/>
        <v>75335.315789999993</v>
      </c>
      <c r="D8">
        <f t="shared" si="1"/>
        <v>868.10526299999992</v>
      </c>
      <c r="E8">
        <f t="shared" si="2"/>
        <v>65398984.127065994</v>
      </c>
      <c r="F8">
        <f t="shared" si="3"/>
        <v>5675409805.1790218</v>
      </c>
      <c r="G8">
        <f t="shared" si="4"/>
        <v>753606.74764829909</v>
      </c>
    </row>
    <row r="9" spans="1:9" x14ac:dyDescent="0.3">
      <c r="A9">
        <v>4270</v>
      </c>
      <c r="B9">
        <v>7</v>
      </c>
      <c r="C9">
        <f t="shared" si="0"/>
        <v>-17353.684209999999</v>
      </c>
      <c r="D9">
        <f t="shared" si="1"/>
        <v>-1251.8947370000001</v>
      </c>
      <c r="E9">
        <f t="shared" si="2"/>
        <v>21724985.930059005</v>
      </c>
      <c r="F9">
        <f t="shared" si="3"/>
        <v>301150355.66040331</v>
      </c>
      <c r="G9">
        <f t="shared" si="4"/>
        <v>1567240.4325282993</v>
      </c>
    </row>
    <row r="10" spans="1:9" x14ac:dyDescent="0.3">
      <c r="A10">
        <v>7890</v>
      </c>
      <c r="B10">
        <v>310</v>
      </c>
      <c r="C10">
        <f t="shared" si="0"/>
        <v>-13733.684209999999</v>
      </c>
      <c r="D10">
        <f t="shared" si="1"/>
        <v>-948.89473700000008</v>
      </c>
      <c r="E10">
        <f t="shared" si="2"/>
        <v>13031820.666489003</v>
      </c>
      <c r="F10">
        <f t="shared" si="3"/>
        <v>188614081.9800033</v>
      </c>
      <c r="G10">
        <f t="shared" si="4"/>
        <v>900401.22190629935</v>
      </c>
    </row>
    <row r="11" spans="1:9" x14ac:dyDescent="0.3">
      <c r="A11">
        <v>9231</v>
      </c>
      <c r="B11">
        <v>537</v>
      </c>
      <c r="C11">
        <f t="shared" si="0"/>
        <v>-12392.684209999999</v>
      </c>
      <c r="D11">
        <f t="shared" si="1"/>
        <v>-721.89473700000008</v>
      </c>
      <c r="E11">
        <f t="shared" si="2"/>
        <v>8946213.5085020028</v>
      </c>
      <c r="F11">
        <f t="shared" si="3"/>
        <v>153578621.9287833</v>
      </c>
      <c r="G11">
        <f t="shared" si="4"/>
        <v>521132.01130829926</v>
      </c>
    </row>
    <row r="12" spans="1:9" x14ac:dyDescent="0.3">
      <c r="A12">
        <v>15109</v>
      </c>
      <c r="B12">
        <v>1235</v>
      </c>
      <c r="C12">
        <f t="shared" si="0"/>
        <v>-6514.6842099999994</v>
      </c>
      <c r="D12">
        <f t="shared" si="1"/>
        <v>-23.894737000000077</v>
      </c>
      <c r="E12">
        <f t="shared" si="2"/>
        <v>155666.66583600326</v>
      </c>
      <c r="F12">
        <f t="shared" si="3"/>
        <v>42441110.356023319</v>
      </c>
      <c r="G12">
        <f t="shared" si="4"/>
        <v>570.95845629917267</v>
      </c>
    </row>
    <row r="13" spans="1:9" x14ac:dyDescent="0.3">
      <c r="A13">
        <v>8349</v>
      </c>
      <c r="B13">
        <v>76</v>
      </c>
      <c r="C13">
        <f t="shared" si="0"/>
        <v>-13274.684209999999</v>
      </c>
      <c r="D13">
        <f t="shared" si="1"/>
        <v>-1182.8947370000001</v>
      </c>
      <c r="E13">
        <f t="shared" si="2"/>
        <v>15702554.087346002</v>
      </c>
      <c r="F13">
        <f t="shared" si="3"/>
        <v>176217240.87522331</v>
      </c>
      <c r="G13">
        <f t="shared" si="4"/>
        <v>1399239.9588222993</v>
      </c>
    </row>
    <row r="14" spans="1:9" x14ac:dyDescent="0.3">
      <c r="A14">
        <v>14930</v>
      </c>
      <c r="B14">
        <v>279</v>
      </c>
      <c r="C14">
        <f t="shared" si="0"/>
        <v>-6693.6842099999994</v>
      </c>
      <c r="D14">
        <f t="shared" si="1"/>
        <v>-979.89473700000008</v>
      </c>
      <c r="E14">
        <f t="shared" si="2"/>
        <v>6559105.9285190031</v>
      </c>
      <c r="F14">
        <f t="shared" si="3"/>
        <v>44805408.303203315</v>
      </c>
      <c r="G14">
        <f t="shared" si="4"/>
        <v>960193.69560029928</v>
      </c>
    </row>
    <row r="15" spans="1:9" x14ac:dyDescent="0.3">
      <c r="A15">
        <v>12249</v>
      </c>
      <c r="B15">
        <v>2243</v>
      </c>
      <c r="C15">
        <f t="shared" si="0"/>
        <v>-9374.6842099999994</v>
      </c>
      <c r="D15">
        <f t="shared" si="1"/>
        <v>984.10526299999992</v>
      </c>
      <c r="E15">
        <f t="shared" si="2"/>
        <v>-9225676.0700239968</v>
      </c>
      <c r="F15">
        <f t="shared" si="3"/>
        <v>87884704.037223309</v>
      </c>
      <c r="G15">
        <f t="shared" si="4"/>
        <v>968463.16866429907</v>
      </c>
    </row>
    <row r="16" spans="1:9" x14ac:dyDescent="0.3">
      <c r="A16">
        <v>4087</v>
      </c>
      <c r="B16">
        <v>171</v>
      </c>
      <c r="C16">
        <f t="shared" si="0"/>
        <v>-17536.684209999999</v>
      </c>
      <c r="D16">
        <f t="shared" si="1"/>
        <v>-1087.8947370000001</v>
      </c>
      <c r="E16">
        <f t="shared" si="2"/>
        <v>19078066.456490003</v>
      </c>
      <c r="F16">
        <f t="shared" si="3"/>
        <v>307535293.0812633</v>
      </c>
      <c r="G16">
        <f t="shared" si="4"/>
        <v>1183514.9587922993</v>
      </c>
    </row>
    <row r="17" spans="1:8" x14ac:dyDescent="0.3">
      <c r="A17">
        <v>8272</v>
      </c>
      <c r="B17">
        <v>0</v>
      </c>
      <c r="C17">
        <f t="shared" si="0"/>
        <v>-13351.684209999999</v>
      </c>
      <c r="D17">
        <f t="shared" si="1"/>
        <v>-1258.8947370000001</v>
      </c>
      <c r="E17">
        <f t="shared" si="2"/>
        <v>16808364.982055005</v>
      </c>
      <c r="F17">
        <f t="shared" si="3"/>
        <v>178267471.24356329</v>
      </c>
      <c r="G17">
        <f t="shared" si="4"/>
        <v>1584815.9588462994</v>
      </c>
    </row>
    <row r="18" spans="1:8" x14ac:dyDescent="0.3">
      <c r="A18">
        <v>51312</v>
      </c>
      <c r="B18">
        <v>3231</v>
      </c>
      <c r="C18">
        <f t="shared" si="0"/>
        <v>29688.315790000001</v>
      </c>
      <c r="D18">
        <f t="shared" si="1"/>
        <v>1972.1052629999999</v>
      </c>
      <c r="E18">
        <f t="shared" si="2"/>
        <v>58548483.819065005</v>
      </c>
      <c r="F18">
        <f t="shared" si="3"/>
        <v>881396094.4467634</v>
      </c>
      <c r="G18">
        <f t="shared" si="4"/>
        <v>3889199.1683522989</v>
      </c>
    </row>
    <row r="19" spans="1:8" x14ac:dyDescent="0.3">
      <c r="A19">
        <v>10614</v>
      </c>
      <c r="B19">
        <v>464</v>
      </c>
      <c r="C19">
        <f t="shared" si="0"/>
        <v>-11009.684209999999</v>
      </c>
      <c r="D19">
        <f t="shared" si="1"/>
        <v>-794.89473700000008</v>
      </c>
      <c r="E19">
        <f t="shared" si="2"/>
        <v>8751540.0345610026</v>
      </c>
      <c r="F19">
        <f t="shared" si="3"/>
        <v>121213146.40392332</v>
      </c>
      <c r="G19">
        <f t="shared" si="4"/>
        <v>631857.64291029924</v>
      </c>
    </row>
    <row r="20" spans="1:8" x14ac:dyDescent="0.3">
      <c r="A20">
        <v>8236</v>
      </c>
      <c r="B20">
        <v>48</v>
      </c>
      <c r="C20">
        <f t="shared" si="0"/>
        <v>-13387.684209999999</v>
      </c>
      <c r="D20">
        <f t="shared" si="1"/>
        <v>-1210.8947370000001</v>
      </c>
      <c r="E20">
        <f t="shared" si="2"/>
        <v>16211076.350507002</v>
      </c>
      <c r="F20">
        <f t="shared" si="3"/>
        <v>179230088.50668332</v>
      </c>
      <c r="G20">
        <f t="shared" si="4"/>
        <v>1466266.0640942995</v>
      </c>
    </row>
    <row r="21" spans="1:8" x14ac:dyDescent="0.3">
      <c r="A21">
        <v>15985</v>
      </c>
      <c r="B21">
        <v>1138</v>
      </c>
      <c r="C21">
        <f t="shared" si="0"/>
        <v>-5638.6842099999994</v>
      </c>
      <c r="D21">
        <f t="shared" si="1"/>
        <v>-120.89473700000008</v>
      </c>
      <c r="E21">
        <f t="shared" si="2"/>
        <v>681687.24459400319</v>
      </c>
      <c r="F21">
        <f>C21*C21</f>
        <v>31794759.620103318</v>
      </c>
      <c r="G21">
        <f t="shared" si="4"/>
        <v>14615.537434299187</v>
      </c>
    </row>
    <row r="22" spans="1:8" x14ac:dyDescent="0.3">
      <c r="A22">
        <v>24378</v>
      </c>
      <c r="B22">
        <v>1242</v>
      </c>
      <c r="C22">
        <f t="shared" si="0"/>
        <v>2754.3157900000006</v>
      </c>
      <c r="D22">
        <f>B22-1258.894737</f>
        <v>-16.894737000000077</v>
      </c>
      <c r="E22">
        <f>C22*D22</f>
        <v>-46533.44088699745</v>
      </c>
      <c r="F22">
        <f>C22*C22</f>
        <v>7586255.4710433269</v>
      </c>
      <c r="G22">
        <f t="shared" si="4"/>
        <v>285.43213829917164</v>
      </c>
    </row>
    <row r="23" spans="1:8" x14ac:dyDescent="0.3">
      <c r="A23">
        <v>410850</v>
      </c>
      <c r="B23">
        <v>23919</v>
      </c>
      <c r="E23">
        <f>SUM(E4:E22)</f>
        <v>378558087.36842114</v>
      </c>
      <c r="F23">
        <f>SUM(F4:F22)</f>
        <v>9756084654.1052628</v>
      </c>
      <c r="G23">
        <f>SUM(G4:G22)</f>
        <v>31564841.789473683</v>
      </c>
    </row>
    <row r="24" spans="1:8" x14ac:dyDescent="0.3">
      <c r="H24" t="s">
        <v>18</v>
      </c>
    </row>
    <row r="25" spans="1:8" ht="18" x14ac:dyDescent="0.35">
      <c r="A25" t="s">
        <v>11</v>
      </c>
      <c r="B25" t="s">
        <v>12</v>
      </c>
      <c r="E25" s="1" t="s">
        <v>17</v>
      </c>
      <c r="H25">
        <f>F23*G23</f>
        <v>3.079492685915447E+17</v>
      </c>
    </row>
    <row r="26" spans="1:8" ht="18" x14ac:dyDescent="0.35">
      <c r="A26">
        <f>A23/19</f>
        <v>21623.684210526317</v>
      </c>
      <c r="B26">
        <f>B23/19</f>
        <v>1258.8947368421052</v>
      </c>
      <c r="E26" s="1">
        <f>E23/H27</f>
        <v>0.68217050870574358</v>
      </c>
      <c r="H26" t="s">
        <v>19</v>
      </c>
    </row>
    <row r="27" spans="1:8" x14ac:dyDescent="0.3">
      <c r="H27">
        <f>SQRT(H25)</f>
        <v>554931769.31181788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9203-29BB-4BBB-B202-FA80B1D5FA44}">
  <dimension ref="A1:G27"/>
  <sheetViews>
    <sheetView zoomScale="90" zoomScaleNormal="90" workbookViewId="0">
      <selection activeCell="B3" sqref="B3:C22"/>
    </sheetView>
  </sheetViews>
  <sheetFormatPr defaultRowHeight="14.4" x14ac:dyDescent="0.3"/>
  <cols>
    <col min="2" max="2" width="20" customWidth="1"/>
    <col min="3" max="3" width="16.109375" customWidth="1"/>
    <col min="4" max="4" width="24.77734375" customWidth="1"/>
    <col min="5" max="5" width="20.88671875" customWidth="1"/>
    <col min="6" max="6" width="21.33203125" customWidth="1"/>
    <col min="7" max="7" width="14.33203125" customWidth="1"/>
  </cols>
  <sheetData>
    <row r="1" spans="1:7" x14ac:dyDescent="0.3">
      <c r="A1" s="2" t="s">
        <v>20</v>
      </c>
      <c r="B1" s="2"/>
      <c r="C1" s="2"/>
      <c r="D1" s="2"/>
      <c r="E1" s="2"/>
      <c r="F1" s="2"/>
      <c r="G1" s="2"/>
    </row>
    <row r="3" spans="1:7" x14ac:dyDescent="0.3">
      <c r="B3" t="s">
        <v>9</v>
      </c>
      <c r="C3" t="s">
        <v>10</v>
      </c>
      <c r="D3" t="s">
        <v>21</v>
      </c>
      <c r="E3" t="s">
        <v>22</v>
      </c>
      <c r="F3" t="s">
        <v>23</v>
      </c>
    </row>
    <row r="4" spans="1:7" x14ac:dyDescent="0.3">
      <c r="B4">
        <v>31898</v>
      </c>
      <c r="C4">
        <v>3054</v>
      </c>
      <c r="D4">
        <f>B4*C4</f>
        <v>97416492</v>
      </c>
      <c r="E4">
        <f>B4*B4</f>
        <v>1017482404</v>
      </c>
      <c r="F4">
        <f>C4*C4</f>
        <v>9326916</v>
      </c>
    </row>
    <row r="5" spans="1:7" x14ac:dyDescent="0.3">
      <c r="B5">
        <v>26337</v>
      </c>
      <c r="C5">
        <v>2021</v>
      </c>
      <c r="D5">
        <f t="shared" ref="D5:D22" si="0">B5*C5</f>
        <v>53227077</v>
      </c>
      <c r="E5">
        <f t="shared" ref="E5:E22" si="1">B5*B5</f>
        <v>693637569</v>
      </c>
      <c r="F5">
        <f t="shared" ref="F5:F22" si="2">C5*C5</f>
        <v>4084441</v>
      </c>
    </row>
    <row r="6" spans="1:7" x14ac:dyDescent="0.3">
      <c r="B6">
        <v>53804</v>
      </c>
      <c r="C6">
        <v>4704</v>
      </c>
      <c r="D6">
        <f t="shared" si="0"/>
        <v>253094016</v>
      </c>
      <c r="E6">
        <f t="shared" si="1"/>
        <v>2894870416</v>
      </c>
      <c r="F6">
        <f t="shared" si="2"/>
        <v>22127616</v>
      </c>
    </row>
    <row r="7" spans="1:7" x14ac:dyDescent="0.3">
      <c r="B7">
        <v>6940</v>
      </c>
      <c r="C7">
        <v>1032</v>
      </c>
      <c r="D7">
        <f t="shared" si="0"/>
        <v>7162080</v>
      </c>
      <c r="E7">
        <f t="shared" si="1"/>
        <v>48163600</v>
      </c>
      <c r="F7">
        <f t="shared" si="2"/>
        <v>1065024</v>
      </c>
    </row>
    <row r="8" spans="1:7" x14ac:dyDescent="0.3">
      <c r="B8">
        <v>96959</v>
      </c>
      <c r="C8">
        <v>2127</v>
      </c>
      <c r="D8">
        <f t="shared" si="0"/>
        <v>206231793</v>
      </c>
      <c r="E8">
        <f t="shared" si="1"/>
        <v>9401047681</v>
      </c>
      <c r="F8">
        <f t="shared" si="2"/>
        <v>4524129</v>
      </c>
    </row>
    <row r="9" spans="1:7" x14ac:dyDescent="0.3">
      <c r="B9">
        <v>4270</v>
      </c>
      <c r="C9">
        <v>7</v>
      </c>
      <c r="D9">
        <f t="shared" si="0"/>
        <v>29890</v>
      </c>
      <c r="E9">
        <f t="shared" si="1"/>
        <v>18232900</v>
      </c>
      <c r="F9">
        <f t="shared" si="2"/>
        <v>49</v>
      </c>
    </row>
    <row r="10" spans="1:7" x14ac:dyDescent="0.3">
      <c r="B10">
        <v>7890</v>
      </c>
      <c r="C10">
        <v>310</v>
      </c>
      <c r="D10">
        <f t="shared" si="0"/>
        <v>2445900</v>
      </c>
      <c r="E10">
        <f t="shared" si="1"/>
        <v>62252100</v>
      </c>
      <c r="F10">
        <f t="shared" si="2"/>
        <v>96100</v>
      </c>
    </row>
    <row r="11" spans="1:7" x14ac:dyDescent="0.3">
      <c r="B11">
        <v>9231</v>
      </c>
      <c r="C11">
        <v>537</v>
      </c>
      <c r="D11">
        <f t="shared" si="0"/>
        <v>4957047</v>
      </c>
      <c r="E11">
        <f t="shared" si="1"/>
        <v>85211361</v>
      </c>
      <c r="F11">
        <f t="shared" si="2"/>
        <v>288369</v>
      </c>
    </row>
    <row r="12" spans="1:7" x14ac:dyDescent="0.3">
      <c r="B12">
        <v>15109</v>
      </c>
      <c r="C12">
        <v>1235</v>
      </c>
      <c r="D12">
        <f t="shared" si="0"/>
        <v>18659615</v>
      </c>
      <c r="E12">
        <f t="shared" si="1"/>
        <v>228281881</v>
      </c>
      <c r="F12">
        <f t="shared" si="2"/>
        <v>1525225</v>
      </c>
    </row>
    <row r="13" spans="1:7" x14ac:dyDescent="0.3">
      <c r="B13">
        <v>8349</v>
      </c>
      <c r="C13">
        <v>76</v>
      </c>
      <c r="D13">
        <f t="shared" si="0"/>
        <v>634524</v>
      </c>
      <c r="E13">
        <f t="shared" si="1"/>
        <v>69705801</v>
      </c>
      <c r="F13">
        <f t="shared" si="2"/>
        <v>5776</v>
      </c>
    </row>
    <row r="14" spans="1:7" x14ac:dyDescent="0.3">
      <c r="B14">
        <v>14930</v>
      </c>
      <c r="C14">
        <v>279</v>
      </c>
      <c r="D14">
        <f t="shared" si="0"/>
        <v>4165470</v>
      </c>
      <c r="E14">
        <f t="shared" si="1"/>
        <v>222904900</v>
      </c>
      <c r="F14">
        <f t="shared" si="2"/>
        <v>77841</v>
      </c>
    </row>
    <row r="15" spans="1:7" x14ac:dyDescent="0.3">
      <c r="B15">
        <v>12249</v>
      </c>
      <c r="C15">
        <v>2243</v>
      </c>
      <c r="D15">
        <f t="shared" si="0"/>
        <v>27474507</v>
      </c>
      <c r="E15">
        <f t="shared" si="1"/>
        <v>150038001</v>
      </c>
      <c r="F15">
        <f t="shared" si="2"/>
        <v>5031049</v>
      </c>
    </row>
    <row r="16" spans="1:7" x14ac:dyDescent="0.3">
      <c r="B16">
        <v>4087</v>
      </c>
      <c r="C16">
        <v>171</v>
      </c>
      <c r="D16">
        <f>B16*C16</f>
        <v>698877</v>
      </c>
      <c r="E16">
        <f t="shared" si="1"/>
        <v>16703569</v>
      </c>
      <c r="F16">
        <f t="shared" si="2"/>
        <v>29241</v>
      </c>
    </row>
    <row r="17" spans="1:7" x14ac:dyDescent="0.3">
      <c r="B17">
        <v>8272</v>
      </c>
      <c r="C17">
        <v>0</v>
      </c>
      <c r="D17">
        <f t="shared" si="0"/>
        <v>0</v>
      </c>
      <c r="E17">
        <f t="shared" si="1"/>
        <v>68425984</v>
      </c>
      <c r="F17">
        <f t="shared" si="2"/>
        <v>0</v>
      </c>
    </row>
    <row r="18" spans="1:7" x14ac:dyDescent="0.3">
      <c r="B18">
        <v>51312</v>
      </c>
      <c r="C18">
        <v>3231</v>
      </c>
      <c r="D18">
        <f t="shared" si="0"/>
        <v>165789072</v>
      </c>
      <c r="E18">
        <f t="shared" si="1"/>
        <v>2632921344</v>
      </c>
      <c r="F18">
        <f t="shared" si="2"/>
        <v>10439361</v>
      </c>
    </row>
    <row r="19" spans="1:7" x14ac:dyDescent="0.3">
      <c r="B19">
        <v>10614</v>
      </c>
      <c r="C19">
        <v>464</v>
      </c>
      <c r="D19">
        <f t="shared" si="0"/>
        <v>4924896</v>
      </c>
      <c r="E19">
        <f t="shared" si="1"/>
        <v>112656996</v>
      </c>
      <c r="F19">
        <f t="shared" si="2"/>
        <v>215296</v>
      </c>
    </row>
    <row r="20" spans="1:7" x14ac:dyDescent="0.3">
      <c r="B20">
        <v>8236</v>
      </c>
      <c r="C20">
        <v>48</v>
      </c>
      <c r="D20">
        <f t="shared" si="0"/>
        <v>395328</v>
      </c>
      <c r="E20">
        <f t="shared" si="1"/>
        <v>67831696</v>
      </c>
      <c r="F20">
        <f t="shared" si="2"/>
        <v>2304</v>
      </c>
    </row>
    <row r="21" spans="1:7" x14ac:dyDescent="0.3">
      <c r="B21">
        <v>15985</v>
      </c>
      <c r="C21">
        <v>1138</v>
      </c>
      <c r="D21">
        <f t="shared" si="0"/>
        <v>18190930</v>
      </c>
      <c r="E21">
        <f t="shared" si="1"/>
        <v>255520225</v>
      </c>
      <c r="F21">
        <f t="shared" si="2"/>
        <v>1295044</v>
      </c>
    </row>
    <row r="22" spans="1:7" x14ac:dyDescent="0.3">
      <c r="B22">
        <v>24378</v>
      </c>
      <c r="C22">
        <v>1242</v>
      </c>
      <c r="D22">
        <f t="shared" si="0"/>
        <v>30277476</v>
      </c>
      <c r="E22">
        <f t="shared" si="1"/>
        <v>594286884</v>
      </c>
      <c r="F22">
        <f t="shared" si="2"/>
        <v>1542564</v>
      </c>
    </row>
    <row r="23" spans="1:7" x14ac:dyDescent="0.3">
      <c r="A23" t="s">
        <v>3</v>
      </c>
      <c r="B23">
        <v>410850</v>
      </c>
      <c r="C23">
        <v>23919</v>
      </c>
      <c r="D23">
        <f>SUM(D4:D22)</f>
        <v>895774990</v>
      </c>
      <c r="E23">
        <f>SUM(E4:E22)</f>
        <v>18640175312</v>
      </c>
      <c r="F23">
        <f>SUM(F4:F22)</f>
        <v>61676345</v>
      </c>
    </row>
    <row r="24" spans="1:7" ht="18" x14ac:dyDescent="0.35">
      <c r="A24" t="s">
        <v>24</v>
      </c>
      <c r="C24" s="2" t="s">
        <v>25</v>
      </c>
      <c r="D24" s="2"/>
      <c r="E24">
        <f>19*D23</f>
        <v>17019724810</v>
      </c>
      <c r="G24" s="1" t="s">
        <v>29</v>
      </c>
    </row>
    <row r="25" spans="1:7" ht="18" x14ac:dyDescent="0.35">
      <c r="C25" s="2" t="s">
        <v>26</v>
      </c>
      <c r="D25" s="2"/>
      <c r="E25">
        <f>B23*C23</f>
        <v>9827121150</v>
      </c>
      <c r="G25" s="1">
        <f>(E24-E25)/(E26-E27)</f>
        <v>3.8802255288870172E-2</v>
      </c>
    </row>
    <row r="26" spans="1:7" ht="18" x14ac:dyDescent="0.35">
      <c r="C26" s="2" t="s">
        <v>27</v>
      </c>
      <c r="D26" s="2"/>
      <c r="E26">
        <f>19*E23</f>
        <v>354163330928</v>
      </c>
      <c r="G26" s="1" t="s">
        <v>30</v>
      </c>
    </row>
    <row r="27" spans="1:7" ht="18" x14ac:dyDescent="0.35">
      <c r="C27" s="2" t="s">
        <v>28</v>
      </c>
      <c r="D27" s="2"/>
      <c r="E27">
        <f>B23*B23</f>
        <v>168797722500</v>
      </c>
      <c r="G27" s="1">
        <f>(C23-G25*B23)/19</f>
        <v>419.84702181935205</v>
      </c>
    </row>
  </sheetData>
  <mergeCells count="5">
    <mergeCell ref="A1:G1"/>
    <mergeCell ref="C24:D24"/>
    <mergeCell ref="C25:D25"/>
    <mergeCell ref="C26:D26"/>
    <mergeCell ref="C27:D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00887-D216-477A-B386-015419B295EC}">
  <dimension ref="A1:H30"/>
  <sheetViews>
    <sheetView tabSelected="1" topLeftCell="A9" workbookViewId="0">
      <selection activeCell="D31" sqref="D31"/>
    </sheetView>
  </sheetViews>
  <sheetFormatPr defaultRowHeight="14.4" x14ac:dyDescent="0.3"/>
  <cols>
    <col min="2" max="2" width="15" customWidth="1"/>
    <col min="3" max="3" width="20.6640625" customWidth="1"/>
    <col min="4" max="4" width="12.33203125" customWidth="1"/>
    <col min="6" max="6" width="18.33203125" customWidth="1"/>
    <col min="7" max="7" width="13.44140625" customWidth="1"/>
  </cols>
  <sheetData>
    <row r="1" spans="1:8" x14ac:dyDescent="0.3">
      <c r="A1" s="2" t="s">
        <v>35</v>
      </c>
      <c r="B1" s="2"/>
      <c r="C1" s="2"/>
      <c r="D1" s="2"/>
      <c r="E1" s="2"/>
      <c r="F1" s="2"/>
      <c r="G1" s="2"/>
      <c r="H1" s="2"/>
    </row>
    <row r="3" spans="1:8" x14ac:dyDescent="0.3">
      <c r="B3" t="s">
        <v>31</v>
      </c>
      <c r="C3" t="s">
        <v>32</v>
      </c>
    </row>
    <row r="4" spans="1:8" x14ac:dyDescent="0.3">
      <c r="B4">
        <v>31898</v>
      </c>
      <c r="C4">
        <v>3054</v>
      </c>
      <c r="D4">
        <f>B4-21623.68421</f>
        <v>10274.315790000001</v>
      </c>
      <c r="E4">
        <f>C4-1258.894737</f>
        <v>1795.1052629999999</v>
      </c>
      <c r="F4">
        <f>D4*D4</f>
        <v>105561564.95264333</v>
      </c>
      <c r="G4">
        <f>E4*E4</f>
        <v>3222402.9052502988</v>
      </c>
    </row>
    <row r="5" spans="1:8" x14ac:dyDescent="0.3">
      <c r="B5">
        <v>26337</v>
      </c>
      <c r="C5">
        <v>2021</v>
      </c>
      <c r="D5">
        <f t="shared" ref="D5:D22" si="0">B5-21623.68421</f>
        <v>4713.3157900000006</v>
      </c>
      <c r="E5">
        <f t="shared" ref="E5:E22" si="1">C5-1258.894737</f>
        <v>762.10526299999992</v>
      </c>
      <c r="F5">
        <f t="shared" ref="F5:F22" si="2">D5*D5</f>
        <v>22215345.736263331</v>
      </c>
      <c r="G5">
        <f t="shared" ref="G5:G22" si="3">E5*E5</f>
        <v>580804.43189229909</v>
      </c>
    </row>
    <row r="6" spans="1:8" x14ac:dyDescent="0.3">
      <c r="B6">
        <v>53804</v>
      </c>
      <c r="C6">
        <v>4704</v>
      </c>
      <c r="D6">
        <f t="shared" si="0"/>
        <v>32180.315790000001</v>
      </c>
      <c r="E6">
        <f t="shared" si="1"/>
        <v>3445.1052629999999</v>
      </c>
      <c r="F6">
        <f t="shared" si="2"/>
        <v>1035572724.3441234</v>
      </c>
      <c r="G6">
        <f t="shared" si="3"/>
        <v>11868750.273150299</v>
      </c>
    </row>
    <row r="7" spans="1:8" x14ac:dyDescent="0.3">
      <c r="B7">
        <v>6940</v>
      </c>
      <c r="C7">
        <v>1032</v>
      </c>
      <c r="D7">
        <f t="shared" si="0"/>
        <v>-14683.684209999999</v>
      </c>
      <c r="E7">
        <f t="shared" si="1"/>
        <v>-226.89473700000008</v>
      </c>
      <c r="F7">
        <f t="shared" si="2"/>
        <v>215610581.97900331</v>
      </c>
      <c r="G7">
        <f t="shared" si="3"/>
        <v>51481.221678299204</v>
      </c>
    </row>
    <row r="8" spans="1:8" x14ac:dyDescent="0.3">
      <c r="B8">
        <v>96959</v>
      </c>
      <c r="C8">
        <v>2127</v>
      </c>
      <c r="D8">
        <f t="shared" si="0"/>
        <v>75335.315789999993</v>
      </c>
      <c r="E8">
        <f t="shared" si="1"/>
        <v>868.10526299999992</v>
      </c>
      <c r="F8">
        <f t="shared" si="2"/>
        <v>5675409805.1790218</v>
      </c>
      <c r="G8">
        <f t="shared" si="3"/>
        <v>753606.74764829909</v>
      </c>
    </row>
    <row r="9" spans="1:8" x14ac:dyDescent="0.3">
      <c r="B9">
        <v>4270</v>
      </c>
      <c r="C9">
        <v>7</v>
      </c>
      <c r="D9">
        <f t="shared" si="0"/>
        <v>-17353.684209999999</v>
      </c>
      <c r="E9">
        <f t="shared" si="1"/>
        <v>-1251.8947370000001</v>
      </c>
      <c r="F9">
        <f t="shared" si="2"/>
        <v>301150355.66040331</v>
      </c>
      <c r="G9">
        <f t="shared" si="3"/>
        <v>1567240.4325282993</v>
      </c>
    </row>
    <row r="10" spans="1:8" x14ac:dyDescent="0.3">
      <c r="B10">
        <v>7890</v>
      </c>
      <c r="C10">
        <v>310</v>
      </c>
      <c r="D10">
        <f t="shared" si="0"/>
        <v>-13733.684209999999</v>
      </c>
      <c r="E10">
        <f t="shared" si="1"/>
        <v>-948.89473700000008</v>
      </c>
      <c r="F10">
        <f t="shared" si="2"/>
        <v>188614081.9800033</v>
      </c>
      <c r="G10">
        <f t="shared" si="3"/>
        <v>900401.22190629935</v>
      </c>
    </row>
    <row r="11" spans="1:8" x14ac:dyDescent="0.3">
      <c r="B11">
        <v>9231</v>
      </c>
      <c r="C11">
        <v>537</v>
      </c>
      <c r="D11">
        <f t="shared" si="0"/>
        <v>-12392.684209999999</v>
      </c>
      <c r="E11">
        <f t="shared" si="1"/>
        <v>-721.89473700000008</v>
      </c>
      <c r="F11">
        <f t="shared" si="2"/>
        <v>153578621.9287833</v>
      </c>
      <c r="G11">
        <f t="shared" si="3"/>
        <v>521132.01130829926</v>
      </c>
    </row>
    <row r="12" spans="1:8" x14ac:dyDescent="0.3">
      <c r="B12">
        <v>15109</v>
      </c>
      <c r="C12">
        <v>1235</v>
      </c>
      <c r="D12">
        <f t="shared" si="0"/>
        <v>-6514.6842099999994</v>
      </c>
      <c r="E12">
        <f t="shared" si="1"/>
        <v>-23.894737000000077</v>
      </c>
      <c r="F12">
        <f t="shared" si="2"/>
        <v>42441110.356023319</v>
      </c>
      <c r="G12">
        <f t="shared" si="3"/>
        <v>570.95845629917267</v>
      </c>
    </row>
    <row r="13" spans="1:8" x14ac:dyDescent="0.3">
      <c r="B13">
        <v>8349</v>
      </c>
      <c r="C13">
        <v>76</v>
      </c>
      <c r="D13">
        <f t="shared" si="0"/>
        <v>-13274.684209999999</v>
      </c>
      <c r="E13">
        <f t="shared" si="1"/>
        <v>-1182.8947370000001</v>
      </c>
      <c r="F13">
        <f t="shared" si="2"/>
        <v>176217240.87522331</v>
      </c>
      <c r="G13">
        <f t="shared" si="3"/>
        <v>1399239.9588222993</v>
      </c>
    </row>
    <row r="14" spans="1:8" x14ac:dyDescent="0.3">
      <c r="B14">
        <v>14930</v>
      </c>
      <c r="C14">
        <v>279</v>
      </c>
      <c r="D14">
        <f t="shared" si="0"/>
        <v>-6693.6842099999994</v>
      </c>
      <c r="E14">
        <f t="shared" si="1"/>
        <v>-979.89473700000008</v>
      </c>
      <c r="F14">
        <f t="shared" si="2"/>
        <v>44805408.303203315</v>
      </c>
      <c r="G14">
        <f t="shared" si="3"/>
        <v>960193.69560029928</v>
      </c>
    </row>
    <row r="15" spans="1:8" x14ac:dyDescent="0.3">
      <c r="B15">
        <v>12249</v>
      </c>
      <c r="C15">
        <v>2243</v>
      </c>
      <c r="D15">
        <f t="shared" si="0"/>
        <v>-9374.6842099999994</v>
      </c>
      <c r="E15">
        <f t="shared" si="1"/>
        <v>984.10526299999992</v>
      </c>
      <c r="F15">
        <f t="shared" si="2"/>
        <v>87884704.037223309</v>
      </c>
      <c r="G15">
        <f t="shared" si="3"/>
        <v>968463.16866429907</v>
      </c>
    </row>
    <row r="16" spans="1:8" x14ac:dyDescent="0.3">
      <c r="B16">
        <v>4087</v>
      </c>
      <c r="C16">
        <v>171</v>
      </c>
      <c r="D16">
        <f t="shared" si="0"/>
        <v>-17536.684209999999</v>
      </c>
      <c r="E16">
        <f t="shared" si="1"/>
        <v>-1087.8947370000001</v>
      </c>
      <c r="F16">
        <f t="shared" si="2"/>
        <v>307535293.0812633</v>
      </c>
      <c r="G16">
        <f t="shared" si="3"/>
        <v>1183514.9587922993</v>
      </c>
    </row>
    <row r="17" spans="1:8" x14ac:dyDescent="0.3">
      <c r="B17">
        <v>8272</v>
      </c>
      <c r="C17">
        <v>0</v>
      </c>
      <c r="D17">
        <f t="shared" si="0"/>
        <v>-13351.684209999999</v>
      </c>
      <c r="E17">
        <f t="shared" si="1"/>
        <v>-1258.8947370000001</v>
      </c>
      <c r="F17">
        <f t="shared" si="2"/>
        <v>178267471.24356329</v>
      </c>
      <c r="G17">
        <f t="shared" si="3"/>
        <v>1584815.9588462994</v>
      </c>
    </row>
    <row r="18" spans="1:8" x14ac:dyDescent="0.3">
      <c r="B18">
        <v>51312</v>
      </c>
      <c r="C18">
        <v>3231</v>
      </c>
      <c r="D18">
        <f t="shared" si="0"/>
        <v>29688.315790000001</v>
      </c>
      <c r="E18">
        <f t="shared" si="1"/>
        <v>1972.1052629999999</v>
      </c>
      <c r="F18">
        <f t="shared" si="2"/>
        <v>881396094.4467634</v>
      </c>
      <c r="G18">
        <f t="shared" si="3"/>
        <v>3889199.1683522989</v>
      </c>
    </row>
    <row r="19" spans="1:8" x14ac:dyDescent="0.3">
      <c r="B19">
        <v>10614</v>
      </c>
      <c r="C19">
        <v>464</v>
      </c>
      <c r="D19">
        <f t="shared" si="0"/>
        <v>-11009.684209999999</v>
      </c>
      <c r="E19">
        <f t="shared" si="1"/>
        <v>-794.89473700000008</v>
      </c>
      <c r="F19">
        <f t="shared" si="2"/>
        <v>121213146.40392332</v>
      </c>
      <c r="G19">
        <f t="shared" si="3"/>
        <v>631857.64291029924</v>
      </c>
    </row>
    <row r="20" spans="1:8" x14ac:dyDescent="0.3">
      <c r="B20">
        <v>8236</v>
      </c>
      <c r="C20">
        <v>48</v>
      </c>
      <c r="D20">
        <f t="shared" si="0"/>
        <v>-13387.684209999999</v>
      </c>
      <c r="E20">
        <f t="shared" si="1"/>
        <v>-1210.8947370000001</v>
      </c>
      <c r="F20">
        <f t="shared" si="2"/>
        <v>179230088.50668332</v>
      </c>
      <c r="G20">
        <f t="shared" si="3"/>
        <v>1466266.0640942995</v>
      </c>
    </row>
    <row r="21" spans="1:8" x14ac:dyDescent="0.3">
      <c r="B21">
        <v>15985</v>
      </c>
      <c r="C21">
        <v>1138</v>
      </c>
      <c r="D21">
        <f t="shared" si="0"/>
        <v>-5638.6842099999994</v>
      </c>
      <c r="E21">
        <f t="shared" si="1"/>
        <v>-120.89473700000008</v>
      </c>
      <c r="F21">
        <f t="shared" si="2"/>
        <v>31794759.620103318</v>
      </c>
      <c r="G21">
        <f t="shared" si="3"/>
        <v>14615.537434299187</v>
      </c>
    </row>
    <row r="22" spans="1:8" x14ac:dyDescent="0.3">
      <c r="B22">
        <v>24378</v>
      </c>
      <c r="C22">
        <v>1242</v>
      </c>
      <c r="D22">
        <f t="shared" si="0"/>
        <v>2754.3157900000006</v>
      </c>
      <c r="E22">
        <f t="shared" si="1"/>
        <v>-16.894737000000077</v>
      </c>
      <c r="F22">
        <f t="shared" si="2"/>
        <v>7586255.4710433269</v>
      </c>
      <c r="G22">
        <f t="shared" si="3"/>
        <v>285.43213829917164</v>
      </c>
    </row>
    <row r="23" spans="1:8" x14ac:dyDescent="0.3">
      <c r="A23" t="s">
        <v>33</v>
      </c>
      <c r="B23">
        <f>SUM(B4:B22)</f>
        <v>410850</v>
      </c>
      <c r="C23">
        <f>SUM(C4:C22)</f>
        <v>23919</v>
      </c>
      <c r="D23">
        <f>SUM(D4:D22)</f>
        <v>9.9999888334423304E-6</v>
      </c>
      <c r="E23">
        <f>SUM(E4:E22)</f>
        <v>-3.0000028345966712E-6</v>
      </c>
      <c r="F23">
        <f>SUM(F4:F22)</f>
        <v>9756084654.1052628</v>
      </c>
      <c r="G23">
        <f>SUM(G4:G22)</f>
        <v>31564841.789473683</v>
      </c>
    </row>
    <row r="24" spans="1:8" x14ac:dyDescent="0.3">
      <c r="F24" t="s">
        <v>36</v>
      </c>
      <c r="G24" t="s">
        <v>36</v>
      </c>
    </row>
    <row r="25" spans="1:8" x14ac:dyDescent="0.3">
      <c r="A25" t="s">
        <v>34</v>
      </c>
      <c r="B25">
        <f>B23/19</f>
        <v>21623.684210526317</v>
      </c>
      <c r="C25">
        <f>C23/19</f>
        <v>1258.8947368421052</v>
      </c>
      <c r="F25">
        <f>F23/18</f>
        <v>542004703.00584793</v>
      </c>
      <c r="G25">
        <f>G23/18</f>
        <v>1753602.3216374267</v>
      </c>
      <c r="H25" t="s">
        <v>39</v>
      </c>
    </row>
    <row r="26" spans="1:8" x14ac:dyDescent="0.3">
      <c r="D26" t="s">
        <v>37</v>
      </c>
      <c r="E26" t="s">
        <v>38</v>
      </c>
      <c r="F26">
        <f>F25/19</f>
        <v>28526563.31609726</v>
      </c>
      <c r="G26">
        <f>G25/19</f>
        <v>92294.859033548782</v>
      </c>
      <c r="H26">
        <f>SQRT(F26+G26)</f>
        <v>5349.6596317084332</v>
      </c>
    </row>
    <row r="27" spans="1:8" ht="18" x14ac:dyDescent="0.35">
      <c r="D27">
        <f>B25-C25</f>
        <v>20364.78947368421</v>
      </c>
      <c r="E27" s="1" t="s">
        <v>40</v>
      </c>
      <c r="F27" s="1">
        <f>D27/H26</f>
        <v>3.8067448913905277</v>
      </c>
    </row>
    <row r="30" spans="1:8" x14ac:dyDescent="0.3">
      <c r="C30" t="s">
        <v>41</v>
      </c>
      <c r="D30">
        <f>(19+19)-2</f>
        <v>36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Thakur</dc:creator>
  <cp:lastModifiedBy>Disha Thakur</cp:lastModifiedBy>
  <dcterms:created xsi:type="dcterms:W3CDTF">2026-03-20T13:14:54Z</dcterms:created>
  <dcterms:modified xsi:type="dcterms:W3CDTF">2026-03-20T16:02:51Z</dcterms:modified>
</cp:coreProperties>
</file>